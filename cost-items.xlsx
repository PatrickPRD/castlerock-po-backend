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97" documentId="11_3D25DB399885BE8CA38CF9272B6D4CEE71B9DB6D" xr6:coauthVersionLast="47" xr6:coauthVersionMax="47" xr10:uidLastSave="{CF4625BB-19C4-42B4-9289-83C1D3BD4325}"/>
  <bookViews>
    <workbookView xWindow="15660" yWindow="3096" windowWidth="13500" windowHeight="13512" xr2:uid="{00000000-000D-0000-FFFF-FFFF00000000}"/>
  </bookViews>
  <sheets>
    <sheet name="Cost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" l="1"/>
  <c r="D148" i="1"/>
  <c r="D147" i="1"/>
  <c r="D146" i="1"/>
  <c r="D145" i="1"/>
  <c r="D144" i="1"/>
  <c r="D143" i="1"/>
  <c r="D142" i="1"/>
  <c r="D139" i="1"/>
  <c r="D138" i="1"/>
  <c r="D137" i="1"/>
  <c r="D136" i="1"/>
  <c r="D135" i="1"/>
  <c r="D134" i="1"/>
  <c r="D133" i="1"/>
  <c r="D132" i="1"/>
  <c r="D131" i="1"/>
  <c r="D130" i="1"/>
  <c r="D129" i="1"/>
  <c r="D141" i="1"/>
  <c r="D140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2" i="1"/>
  <c r="D91" i="1"/>
  <c r="D90" i="1"/>
  <c r="D88" i="1"/>
  <c r="D87" i="1"/>
  <c r="D86" i="1"/>
  <c r="D85" i="1"/>
  <c r="D81" i="1"/>
  <c r="D80" i="1"/>
  <c r="D84" i="1"/>
  <c r="D83" i="1"/>
  <c r="D82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</calcChain>
</file>

<file path=xl/sharedStrings.xml><?xml version="1.0" encoding="utf-8"?>
<sst xmlns="http://schemas.openxmlformats.org/spreadsheetml/2006/main" count="467" uniqueCount="220">
  <si>
    <t>NOTE: Do not enter values in the Code column. Codes are auto-generated during upload.</t>
  </si>
  <si>
    <t>Code</t>
  </si>
  <si>
    <t>Type</t>
  </si>
  <si>
    <t>Description</t>
  </si>
  <si>
    <t>Cost Per</t>
  </si>
  <si>
    <t>Unit</t>
  </si>
  <si>
    <t>BK1</t>
  </si>
  <si>
    <t>Blockwork</t>
  </si>
  <si>
    <t>Standard cavity blocks</t>
  </si>
  <si>
    <t>each</t>
  </si>
  <si>
    <t>BK2</t>
  </si>
  <si>
    <t>Thermallite Block</t>
  </si>
  <si>
    <t>CN1</t>
  </si>
  <si>
    <t>Concrete</t>
  </si>
  <si>
    <t>Readymix C30 concrete</t>
  </si>
  <si>
    <t>m3</t>
  </si>
  <si>
    <t>EL1</t>
  </si>
  <si>
    <t>Electrical</t>
  </si>
  <si>
    <t>Twin and earth cable 2.5mm</t>
  </si>
  <si>
    <t>m</t>
  </si>
  <si>
    <t>IN1</t>
  </si>
  <si>
    <t>Insulation</t>
  </si>
  <si>
    <t>Rigid insulation board 100mm</t>
  </si>
  <si>
    <t>m2</t>
  </si>
  <si>
    <t>PT1</t>
  </si>
  <si>
    <t>Painting</t>
  </si>
  <si>
    <t>Interior wall paint</t>
  </si>
  <si>
    <t>bucket</t>
  </si>
  <si>
    <t>PL1</t>
  </si>
  <si>
    <t>Plastering</t>
  </si>
  <si>
    <t>Internal plaster skim coat</t>
  </si>
  <si>
    <t>PL2</t>
  </si>
  <si>
    <t>Plumbing</t>
  </si>
  <si>
    <t>PEX pipe 20mm</t>
  </si>
  <si>
    <t>RB1</t>
  </si>
  <si>
    <t>Rebar</t>
  </si>
  <si>
    <t>High yield reinforcement bars</t>
  </si>
  <si>
    <t>tonne</t>
  </si>
  <si>
    <t>RF1</t>
  </si>
  <si>
    <t>Roofing</t>
  </si>
  <si>
    <t>Concrete roof tiles</t>
  </si>
  <si>
    <t>TM1</t>
  </si>
  <si>
    <t>Timber</t>
  </si>
  <si>
    <t>Structural timber C24</t>
  </si>
  <si>
    <t>Premix Mortar Tower - Sept 24</t>
  </si>
  <si>
    <t>30N Foundation Concrete</t>
  </si>
  <si>
    <t>25N Concrete - Keohane</t>
  </si>
  <si>
    <t>Floor Slab Concrete with Fibres</t>
  </si>
  <si>
    <t>Silo</t>
  </si>
  <si>
    <t>150mm Rigid Below Slab Insulation</t>
  </si>
  <si>
    <t xml:space="preserve">25mm Edge Insulation </t>
  </si>
  <si>
    <t>180mm Cavity Pump</t>
  </si>
  <si>
    <t>400mm Attic Insulation</t>
  </si>
  <si>
    <t>Insulate Attic Tank</t>
  </si>
  <si>
    <t>50mm Rigid Insulation</t>
  </si>
  <si>
    <t>200mm KORE Floor Insulation</t>
  </si>
  <si>
    <t>35mm KORE Edge insulation</t>
  </si>
  <si>
    <t>sheet</t>
  </si>
  <si>
    <t>sqm</t>
  </si>
  <si>
    <t>Radon</t>
  </si>
  <si>
    <t>Radon Supply and Fit Per Sqm</t>
  </si>
  <si>
    <t>Radon Supply and Fit Pip Extrusions</t>
  </si>
  <si>
    <t>Radon Supply and Fit Wall up Details</t>
  </si>
  <si>
    <t>Radon Barrier</t>
  </si>
  <si>
    <t>Radon Tape</t>
  </si>
  <si>
    <t>Allowance</t>
  </si>
  <si>
    <t>roll</t>
  </si>
  <si>
    <t>Pipework</t>
  </si>
  <si>
    <t>100mm SN8 Wavin Pipe</t>
  </si>
  <si>
    <t>100mm Long Radius</t>
  </si>
  <si>
    <t>AJ 6 Port Base and Cover</t>
  </si>
  <si>
    <t>100mm Gulley Complete</t>
  </si>
  <si>
    <t>100mm 90 degree Bend</t>
  </si>
  <si>
    <t>100mm 45 degree Bend</t>
  </si>
  <si>
    <t>100mm 30 Degree Bend</t>
  </si>
  <si>
    <t>100mm -&gt; 150mm Y/T Connection</t>
  </si>
  <si>
    <t>Length</t>
  </si>
  <si>
    <t>Ducting</t>
  </si>
  <si>
    <t>50mm ESB Red Duct</t>
  </si>
  <si>
    <t>50mm ESB Red Coupler</t>
  </si>
  <si>
    <t>ESB Hockey Stick</t>
  </si>
  <si>
    <t>500mm ESB Cover Tape 500mm ESB Cover Tape</t>
  </si>
  <si>
    <t>250mm ESB Cover Tape 500mm ESB Cover Tape</t>
  </si>
  <si>
    <t>UG Detect Tape ESB</t>
  </si>
  <si>
    <t>IW Cover Tape</t>
  </si>
  <si>
    <t>50mm Black Duct</t>
  </si>
  <si>
    <t>25mm Water Main</t>
  </si>
  <si>
    <t>50m Roll</t>
  </si>
  <si>
    <t>200m roll</t>
  </si>
  <si>
    <t>100m roll</t>
  </si>
  <si>
    <t>150m Roll</t>
  </si>
  <si>
    <t>Standard Concrete Block</t>
  </si>
  <si>
    <t>150mm Quinnlite Block</t>
  </si>
  <si>
    <t>Aggregate</t>
  </si>
  <si>
    <t xml:space="preserve">T0 Annexe E Structural Material 0-125mm </t>
  </si>
  <si>
    <t xml:space="preserve">T1 Annexe E Structural Material 0-40mm </t>
  </si>
  <si>
    <t xml:space="preserve">T2 Annexe E Permeable 4/40mm </t>
  </si>
  <si>
    <t xml:space="preserve">T3 Annexe E Blinding 0-4mm </t>
  </si>
  <si>
    <t xml:space="preserve">Clause 804 Material </t>
  </si>
  <si>
    <t xml:space="preserve">325mm Wall Ties for 180mm Cavity </t>
  </si>
  <si>
    <t xml:space="preserve">100mm DPC </t>
  </si>
  <si>
    <t xml:space="preserve">225 DPC </t>
  </si>
  <si>
    <t xml:space="preserve">Expansion Joint </t>
  </si>
  <si>
    <t>30m Roll</t>
  </si>
  <si>
    <t>5m Roll</t>
  </si>
  <si>
    <t>100w x 65h Pre-Stressed Concrete Lintel</t>
  </si>
  <si>
    <t>150w x 65h Pre-Stressed Concrete Lintel</t>
  </si>
  <si>
    <t>Blockwork Concrete Sill</t>
  </si>
  <si>
    <t>Timber Frame Concrete Sill</t>
  </si>
  <si>
    <t>Catnic Lintel For Stonework</t>
  </si>
  <si>
    <t>Lintels &amp; Sills</t>
  </si>
  <si>
    <t>External Plastering</t>
  </si>
  <si>
    <t xml:space="preserve">Sand </t>
  </si>
  <si>
    <t xml:space="preserve">Cement 25kg bag </t>
  </si>
  <si>
    <t xml:space="preserve">External Plaster Bead 2.4m </t>
  </si>
  <si>
    <t xml:space="preserve">14mm Expansion Beads </t>
  </si>
  <si>
    <t xml:space="preserve">Waterproofing 5L drum </t>
  </si>
  <si>
    <t xml:space="preserve">3 x 1 16ft Prep Timber </t>
  </si>
  <si>
    <t xml:space="preserve">100mm Steel Nails  </t>
  </si>
  <si>
    <t>GRP Mortar</t>
  </si>
  <si>
    <t>pallet</t>
  </si>
  <si>
    <t>box</t>
  </si>
  <si>
    <t>Box</t>
  </si>
  <si>
    <t>Bag</t>
  </si>
  <si>
    <t>Internal Plastering</t>
  </si>
  <si>
    <t xml:space="preserve">9mm Plasterboard Plain Slab 8x4  </t>
  </si>
  <si>
    <t xml:space="preserve">12.5mm Plasterboard Plain Slab 8x4  </t>
  </si>
  <si>
    <t xml:space="preserve">15mm Plasterboard Plain Slab 8x4  </t>
  </si>
  <si>
    <t xml:space="preserve">12.5mm MR Plasterboard Slab 8x4  </t>
  </si>
  <si>
    <t xml:space="preserve">12.5mm Plasterboard Slab 9x4  </t>
  </si>
  <si>
    <t>50mm Insulated PIR Slab</t>
  </si>
  <si>
    <t>100mm PIR for between Rafters</t>
  </si>
  <si>
    <t xml:space="preserve">Mini Mesh Corner Beads  </t>
  </si>
  <si>
    <t xml:space="preserve">Stop Beads  </t>
  </si>
  <si>
    <t xml:space="preserve">50mm Scrim Tape  </t>
  </si>
  <si>
    <t xml:space="preserve">100mm Scrim Tape  </t>
  </si>
  <si>
    <t xml:space="preserve">Gypsum Paper Tape  </t>
  </si>
  <si>
    <t>Air Tightness</t>
  </si>
  <si>
    <t xml:space="preserve">Dafa Tape 150mm  </t>
  </si>
  <si>
    <t xml:space="preserve">SDI vapour barrier  </t>
  </si>
  <si>
    <t xml:space="preserve">Gerband Fortex 640 Adhesive Tube  </t>
  </si>
  <si>
    <t xml:space="preserve">Gerband 586 60mm Tape  </t>
  </si>
  <si>
    <t>WPC Hood</t>
  </si>
  <si>
    <t xml:space="preserve">Bag Skirm Coat  </t>
  </si>
  <si>
    <t xml:space="preserve">Gypsum Joint Filler  </t>
  </si>
  <si>
    <t xml:space="preserve">Gypsum Drywall Adhesive  </t>
  </si>
  <si>
    <t>bag</t>
  </si>
  <si>
    <t>55mm Collated Plasterboard Screws</t>
  </si>
  <si>
    <t>100mm Mushroom Fixings</t>
  </si>
  <si>
    <t>Keylite Roof Window 780 x 980</t>
  </si>
  <si>
    <t>Keylite Roof Flashing 780 x 980</t>
  </si>
  <si>
    <t xml:space="preserve">4 x 1 16ft Rough  </t>
  </si>
  <si>
    <t xml:space="preserve">4 x 2 16ft Rough  </t>
  </si>
  <si>
    <t xml:space="preserve">7 x 1 16ft Rough  </t>
  </si>
  <si>
    <t xml:space="preserve">8 x 4 22mm Flooring  </t>
  </si>
  <si>
    <t xml:space="preserve">4 x 2 12.5mm Ply  </t>
  </si>
  <si>
    <t xml:space="preserve">8 x 2 18mm OSB Attic Board  </t>
  </si>
  <si>
    <t xml:space="preserve">8 x 4 12mm Plywood  </t>
  </si>
  <si>
    <t xml:space="preserve">Wood Preservative  </t>
  </si>
  <si>
    <t xml:space="preserve">300mm MDF Window Board  </t>
  </si>
  <si>
    <t xml:space="preserve">450mm x 5lb Lead  </t>
  </si>
  <si>
    <t xml:space="preserve">300mm x 4lb Lead  </t>
  </si>
  <si>
    <t xml:space="preserve">150mm x 4lb Lead  </t>
  </si>
  <si>
    <t xml:space="preserve">Lead Gutter Sealant  </t>
  </si>
  <si>
    <t xml:space="preserve">Leadax 1 x 6m Roll  </t>
  </si>
  <si>
    <t xml:space="preserve">50mm x 5 Screws  </t>
  </si>
  <si>
    <t xml:space="preserve">80mm x 5 Screws  </t>
  </si>
  <si>
    <t xml:space="preserve">100mm x 5 Screws  </t>
  </si>
  <si>
    <t xml:space="preserve">75mm Paslode Nails  </t>
  </si>
  <si>
    <t xml:space="preserve">90mm Paslode Nails  </t>
  </si>
  <si>
    <t xml:space="preserve">35mm Paslode Twist Nails  </t>
  </si>
  <si>
    <t>Paslode Fuel pack</t>
  </si>
  <si>
    <t xml:space="preserve">Attic Ladder  </t>
  </si>
  <si>
    <t>Dry Ridge Kit</t>
  </si>
  <si>
    <t>Rafter Roll</t>
  </si>
  <si>
    <t>Eaves Roll</t>
  </si>
  <si>
    <t>Tegral Thrutone Fastnet Edge MM Slate</t>
  </si>
  <si>
    <t>Tegral Thrutone Ridge Tile</t>
  </si>
  <si>
    <t>60 x 30 Berona Black Slate</t>
  </si>
  <si>
    <t>Red Bag Cavity Closer</t>
  </si>
  <si>
    <t>Alutrim</t>
  </si>
  <si>
    <t xml:space="preserve">Black Mortar Dye  </t>
  </si>
  <si>
    <t>Flooring Plywood</t>
  </si>
  <si>
    <t>Sheet</t>
  </si>
  <si>
    <t>5l drum</t>
  </si>
  <si>
    <t>6m Roll</t>
  </si>
  <si>
    <t>Cartridge</t>
  </si>
  <si>
    <t xml:space="preserve">Door Frame  </t>
  </si>
  <si>
    <t xml:space="preserve">150mm Skirting  </t>
  </si>
  <si>
    <t xml:space="preserve">100mm Architrave  </t>
  </si>
  <si>
    <t xml:space="preserve">Tech 7 Glue  </t>
  </si>
  <si>
    <t xml:space="preserve">2 x 1 16ft Prepared  </t>
  </si>
  <si>
    <t xml:space="preserve">Door Oak Shaker 32"  </t>
  </si>
  <si>
    <t xml:space="preserve">Door Oak Shaker 34"   </t>
  </si>
  <si>
    <t xml:space="preserve">Door Full Glass 34"   </t>
  </si>
  <si>
    <t xml:space="preserve">Lock Set Standard [Sienna]  </t>
  </si>
  <si>
    <t xml:space="preserve">Lock Set Thumbturn [Sienna]  </t>
  </si>
  <si>
    <t>Eclisse Door Frame Kit</t>
  </si>
  <si>
    <t>length</t>
  </si>
  <si>
    <t>set</t>
  </si>
  <si>
    <t>Lime</t>
  </si>
  <si>
    <t>2nd Fix Carpentry</t>
  </si>
  <si>
    <t>1st Fix Carpentry</t>
  </si>
  <si>
    <t xml:space="preserve">ESB Meter Box  </t>
  </si>
  <si>
    <t xml:space="preserve">Eircom Meter Box  </t>
  </si>
  <si>
    <t xml:space="preserve">Dulux 9010 Ceiling Paint  </t>
  </si>
  <si>
    <t xml:space="preserve">Dulux Calm Cloud Wall Paint  </t>
  </si>
  <si>
    <t xml:space="preserve">Colourtrend Satinwood  </t>
  </si>
  <si>
    <t xml:space="preserve">Wall Primer  </t>
  </si>
  <si>
    <t xml:space="preserve">Mould Additive  </t>
  </si>
  <si>
    <t xml:space="preserve">Dulux Portland Weathershield External  </t>
  </si>
  <si>
    <t xml:space="preserve">50mm Masking tape  </t>
  </si>
  <si>
    <t xml:space="preserve">Decorators Chaulk  </t>
  </si>
  <si>
    <t>10L Drum</t>
  </si>
  <si>
    <t>5L Drum</t>
  </si>
  <si>
    <t>tube</t>
  </si>
  <si>
    <t>8ft Concrete Garden Fence Post</t>
  </si>
  <si>
    <t>Concrete Gravel Board</t>
  </si>
  <si>
    <t>Timber Fence Panel 1.5m High</t>
  </si>
  <si>
    <t>Fencing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</si>
</sst>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7A2E0B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0" fontId="0" fillId="0" borderId="0" xfId="0" applyProtection="1">
      <protection locked="0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selection activeCell="D14" sqref="D14"/>
    </sheetView>
  </sheetViews>
  <sheetFormatPr defaultRowHeight="14.4" x14ac:dyDescent="0.3"/>
  <cols>
    <col min="1" max="1" width="16" customWidth="1"/>
    <col min="2" max="2" width="20" customWidth="1"/>
    <col min="3" max="3" width="40" customWidth="1"/>
    <col min="4" max="5" width="14" customWidth="1"/>
  </cols>
  <sheetData>
    <row r="1" spans="1:5" ht="19.2" customHeight="1" x14ac:dyDescent="0.3">
      <c r="A1" s="3" t="s">
        <v>0</v>
      </c>
      <c r="B1" s="3"/>
      <c r="C1" s="3"/>
      <c r="D1" s="3"/>
      <c r="E1" s="3"/>
    </row>
    <row r="2" spans="1:5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s="2" t="s">
        <v>7</v>
      </c>
      <c r="C3" s="2" t="s">
        <v>8</v>
      </c>
      <c r="D3" s="2">
        <v>0.1</v>
      </c>
      <c r="E3" s="2" t="s">
        <v>9</v>
      </c>
    </row>
    <row r="4" spans="1:5" x14ac:dyDescent="0.3">
      <c r="A4" t="s">
        <v>10</v>
      </c>
      <c r="B4" s="2" t="s">
        <v>7</v>
      </c>
      <c r="C4" s="2" t="s">
        <v>11</v>
      </c>
      <c r="D4" s="2">
        <v>6.5</v>
      </c>
      <c r="E4" s="2" t="s">
        <v>9</v>
      </c>
    </row>
    <row r="5" spans="1:5" x14ac:dyDescent="0.3">
      <c r="A5" t="s">
        <v>12</v>
      </c>
      <c r="B5" s="2" t="s">
        <v>13</v>
      </c>
      <c r="C5" s="2" t="s">
        <v>14</v>
      </c>
      <c r="D5" s="2">
        <v>145</v>
      </c>
      <c r="E5" s="2" t="s">
        <v>15</v>
      </c>
    </row>
    <row r="6" spans="1:5" x14ac:dyDescent="0.3">
      <c r="A6" t="s">
        <v>16</v>
      </c>
      <c r="B6" s="2" t="s">
        <v>17</v>
      </c>
      <c r="C6" s="2" t="s">
        <v>18</v>
      </c>
      <c r="D6" s="2">
        <v>1.1499999999999999</v>
      </c>
      <c r="E6" s="2" t="s">
        <v>19</v>
      </c>
    </row>
    <row r="7" spans="1:5" x14ac:dyDescent="0.3">
      <c r="A7" t="s">
        <v>20</v>
      </c>
      <c r="B7" s="2" t="s">
        <v>21</v>
      </c>
      <c r="C7" s="2" t="s">
        <v>22</v>
      </c>
      <c r="D7" s="2">
        <v>18.899999999999999</v>
      </c>
      <c r="E7" s="2" t="s">
        <v>23</v>
      </c>
    </row>
    <row r="8" spans="1:5" x14ac:dyDescent="0.3">
      <c r="A8" t="s">
        <v>24</v>
      </c>
      <c r="B8" s="2" t="s">
        <v>25</v>
      </c>
      <c r="C8" s="2" t="s">
        <v>26</v>
      </c>
      <c r="D8" s="2">
        <v>42.5</v>
      </c>
      <c r="E8" s="2" t="s">
        <v>27</v>
      </c>
    </row>
    <row r="9" spans="1:5" x14ac:dyDescent="0.3">
      <c r="A9" t="s">
        <v>28</v>
      </c>
      <c r="B9" s="2" t="s">
        <v>29</v>
      </c>
      <c r="C9" s="2" t="s">
        <v>30</v>
      </c>
      <c r="D9" s="2">
        <v>12.75</v>
      </c>
      <c r="E9" s="2" t="s">
        <v>23</v>
      </c>
    </row>
    <row r="10" spans="1:5" x14ac:dyDescent="0.3">
      <c r="A10" t="s">
        <v>31</v>
      </c>
      <c r="B10" s="2" t="s">
        <v>32</v>
      </c>
      <c r="C10" s="2" t="s">
        <v>33</v>
      </c>
      <c r="D10" s="2">
        <v>2.4</v>
      </c>
      <c r="E10" s="2" t="s">
        <v>19</v>
      </c>
    </row>
    <row r="11" spans="1:5" x14ac:dyDescent="0.3">
      <c r="A11" t="s">
        <v>34</v>
      </c>
      <c r="B11" s="2" t="s">
        <v>35</v>
      </c>
      <c r="C11" s="2" t="s">
        <v>36</v>
      </c>
      <c r="D11" s="2">
        <v>920</v>
      </c>
      <c r="E11" s="2" t="s">
        <v>37</v>
      </c>
    </row>
    <row r="12" spans="1:5" x14ac:dyDescent="0.3">
      <c r="A12" t="s">
        <v>38</v>
      </c>
      <c r="B12" s="2" t="s">
        <v>39</v>
      </c>
      <c r="C12" s="2" t="s">
        <v>40</v>
      </c>
      <c r="D12" s="2">
        <v>1.85</v>
      </c>
      <c r="E12" s="2" t="s">
        <v>9</v>
      </c>
    </row>
    <row r="13" spans="1:5" x14ac:dyDescent="0.3">
      <c r="A13" t="s">
        <v>41</v>
      </c>
      <c r="B13" s="2" t="s">
        <v>42</v>
      </c>
      <c r="C13" s="2" t="s">
        <v>43</v>
      </c>
      <c r="D13" s="2">
        <v>6.75</v>
      </c>
      <c r="E13" s="2" t="s">
        <v>19</v>
      </c>
    </row>
    <row r="14" spans="1:5" x14ac:dyDescent="0.3">
      <c r="B14" s="2" t="s">
        <v>13</v>
      </c>
      <c r="C14" s="2" t="s">
        <v>45</v>
      </c>
      <c r="D14" s="2">
        <f>(136.95)</f>
        <v>136.94999999999999</v>
      </c>
      <c r="E14" s="2" t="s">
        <v>15</v>
      </c>
    </row>
    <row r="15" spans="1:5" x14ac:dyDescent="0.3">
      <c r="B15" s="2" t="s">
        <v>13</v>
      </c>
      <c r="C15" s="2" t="s">
        <v>46</v>
      </c>
      <c r="D15" s="2">
        <f>(124.5)</f>
        <v>124.5</v>
      </c>
      <c r="E15" s="2" t="s">
        <v>15</v>
      </c>
    </row>
    <row r="16" spans="1:5" x14ac:dyDescent="0.3">
      <c r="B16" s="2" t="s">
        <v>13</v>
      </c>
      <c r="C16" s="2" t="s">
        <v>47</v>
      </c>
      <c r="D16" s="2">
        <f>(207.5)</f>
        <v>207.5</v>
      </c>
      <c r="E16" s="2" t="s">
        <v>15</v>
      </c>
    </row>
    <row r="17" spans="2:5" x14ac:dyDescent="0.3">
      <c r="B17" s="2" t="s">
        <v>13</v>
      </c>
      <c r="C17" s="2" t="s">
        <v>44</v>
      </c>
      <c r="D17" s="2">
        <f>(3585)</f>
        <v>3585</v>
      </c>
      <c r="E17" s="2" t="s">
        <v>48</v>
      </c>
    </row>
    <row r="18" spans="2:5" x14ac:dyDescent="0.3">
      <c r="B18" s="2" t="s">
        <v>21</v>
      </c>
      <c r="C18" s="2" t="s">
        <v>55</v>
      </c>
      <c r="D18" s="2">
        <f>(11)</f>
        <v>11</v>
      </c>
      <c r="E18" s="2" t="s">
        <v>15</v>
      </c>
    </row>
    <row r="19" spans="2:5" x14ac:dyDescent="0.3">
      <c r="B19" s="2" t="s">
        <v>21</v>
      </c>
      <c r="C19" s="2" t="s">
        <v>56</v>
      </c>
      <c r="D19" s="2">
        <f>(1.1)</f>
        <v>1.1000000000000001</v>
      </c>
      <c r="E19" s="2" t="s">
        <v>19</v>
      </c>
    </row>
    <row r="20" spans="2:5" x14ac:dyDescent="0.3">
      <c r="B20" s="2" t="s">
        <v>21</v>
      </c>
      <c r="C20" s="2" t="s">
        <v>49</v>
      </c>
      <c r="D20" s="2">
        <f>(95)</f>
        <v>95</v>
      </c>
      <c r="E20" s="2" t="s">
        <v>57</v>
      </c>
    </row>
    <row r="21" spans="2:5" x14ac:dyDescent="0.3">
      <c r="B21" s="2" t="s">
        <v>21</v>
      </c>
      <c r="C21" s="2" t="s">
        <v>50</v>
      </c>
      <c r="D21" s="2">
        <f>(24.4)</f>
        <v>24.4</v>
      </c>
      <c r="E21" s="2" t="s">
        <v>57</v>
      </c>
    </row>
    <row r="22" spans="2:5" x14ac:dyDescent="0.3">
      <c r="B22" s="2" t="s">
        <v>21</v>
      </c>
      <c r="C22" s="2" t="s">
        <v>51</v>
      </c>
      <c r="D22" s="2">
        <f>(22)</f>
        <v>22</v>
      </c>
      <c r="E22" s="2" t="s">
        <v>58</v>
      </c>
    </row>
    <row r="23" spans="2:5" x14ac:dyDescent="0.3">
      <c r="B23" s="2" t="s">
        <v>21</v>
      </c>
      <c r="C23" s="2" t="s">
        <v>52</v>
      </c>
      <c r="D23" s="2">
        <f>(22)</f>
        <v>22</v>
      </c>
      <c r="E23" s="2" t="s">
        <v>58</v>
      </c>
    </row>
    <row r="24" spans="2:5" x14ac:dyDescent="0.3">
      <c r="B24" s="2" t="s">
        <v>21</v>
      </c>
      <c r="C24" s="2" t="s">
        <v>53</v>
      </c>
      <c r="D24" s="2">
        <f>(100)</f>
        <v>100</v>
      </c>
      <c r="E24" s="2" t="s">
        <v>9</v>
      </c>
    </row>
    <row r="25" spans="2:5" x14ac:dyDescent="0.3">
      <c r="B25" s="2" t="s">
        <v>21</v>
      </c>
      <c r="C25" s="2" t="s">
        <v>54</v>
      </c>
      <c r="D25" s="2">
        <f>(55)</f>
        <v>55</v>
      </c>
      <c r="E25" s="2" t="s">
        <v>57</v>
      </c>
    </row>
    <row r="26" spans="2:5" x14ac:dyDescent="0.3">
      <c r="B26" s="2" t="s">
        <v>59</v>
      </c>
      <c r="C26" s="2" t="s">
        <v>60</v>
      </c>
      <c r="D26" s="2">
        <f>(5.2)</f>
        <v>5.2</v>
      </c>
      <c r="E26" s="2" t="s">
        <v>23</v>
      </c>
    </row>
    <row r="27" spans="2:5" x14ac:dyDescent="0.3">
      <c r="B27" s="2" t="s">
        <v>59</v>
      </c>
      <c r="C27" s="2" t="s">
        <v>61</v>
      </c>
      <c r="D27" s="2">
        <f>(9)</f>
        <v>9</v>
      </c>
      <c r="E27" s="2" t="s">
        <v>9</v>
      </c>
    </row>
    <row r="28" spans="2:5" x14ac:dyDescent="0.3">
      <c r="B28" s="2" t="s">
        <v>59</v>
      </c>
      <c r="C28" s="2" t="s">
        <v>62</v>
      </c>
      <c r="D28" s="2">
        <f>(50)</f>
        <v>50</v>
      </c>
      <c r="E28" s="2" t="s">
        <v>65</v>
      </c>
    </row>
    <row r="29" spans="2:5" x14ac:dyDescent="0.3">
      <c r="B29" s="2" t="s">
        <v>59</v>
      </c>
      <c r="C29" s="2" t="s">
        <v>63</v>
      </c>
      <c r="D29" s="2">
        <f>(95)</f>
        <v>95</v>
      </c>
      <c r="E29" s="2" t="s">
        <v>66</v>
      </c>
    </row>
    <row r="30" spans="2:5" x14ac:dyDescent="0.3">
      <c r="B30" s="2" t="s">
        <v>59</v>
      </c>
      <c r="C30" s="2" t="s">
        <v>64</v>
      </c>
      <c r="D30" s="2">
        <f>(15)</f>
        <v>15</v>
      </c>
      <c r="E30" s="2" t="s">
        <v>66</v>
      </c>
    </row>
    <row r="31" spans="2:5" x14ac:dyDescent="0.3">
      <c r="B31" s="2" t="s">
        <v>67</v>
      </c>
      <c r="C31" s="2" t="s">
        <v>68</v>
      </c>
      <c r="D31" s="2">
        <f>(19.95)</f>
        <v>19.95</v>
      </c>
      <c r="E31" s="2" t="s">
        <v>76</v>
      </c>
    </row>
    <row r="32" spans="2:5" x14ac:dyDescent="0.3">
      <c r="B32" s="2" t="s">
        <v>67</v>
      </c>
      <c r="C32" s="2" t="s">
        <v>72</v>
      </c>
      <c r="D32" s="2">
        <f>(2.95)</f>
        <v>2.95</v>
      </c>
      <c r="E32" s="2" t="s">
        <v>9</v>
      </c>
    </row>
    <row r="33" spans="2:5" x14ac:dyDescent="0.3">
      <c r="B33" s="2" t="s">
        <v>67</v>
      </c>
      <c r="C33" s="2" t="s">
        <v>73</v>
      </c>
      <c r="D33" s="2">
        <f>(2.55)</f>
        <v>2.5499999999999998</v>
      </c>
      <c r="E33" s="2" t="s">
        <v>9</v>
      </c>
    </row>
    <row r="34" spans="2:5" x14ac:dyDescent="0.3">
      <c r="B34" s="2" t="s">
        <v>67</v>
      </c>
      <c r="C34" s="2" t="s">
        <v>74</v>
      </c>
      <c r="D34" s="2">
        <f>(2.55)</f>
        <v>2.5499999999999998</v>
      </c>
      <c r="E34" s="2" t="s">
        <v>9</v>
      </c>
    </row>
    <row r="35" spans="2:5" x14ac:dyDescent="0.3">
      <c r="B35" s="2" t="s">
        <v>67</v>
      </c>
      <c r="C35" s="2" t="s">
        <v>75</v>
      </c>
      <c r="D35" s="2">
        <f>(4.95)</f>
        <v>4.95</v>
      </c>
      <c r="E35" s="2" t="s">
        <v>9</v>
      </c>
    </row>
    <row r="36" spans="2:5" x14ac:dyDescent="0.3">
      <c r="B36" s="2" t="s">
        <v>67</v>
      </c>
      <c r="C36" s="2" t="s">
        <v>69</v>
      </c>
      <c r="D36" s="2">
        <f>(12)</f>
        <v>12</v>
      </c>
      <c r="E36" s="2" t="s">
        <v>9</v>
      </c>
    </row>
    <row r="37" spans="2:5" x14ac:dyDescent="0.3">
      <c r="B37" s="2" t="s">
        <v>67</v>
      </c>
      <c r="C37" s="2" t="s">
        <v>70</v>
      </c>
      <c r="D37" s="2">
        <f>(43.39)</f>
        <v>43.39</v>
      </c>
      <c r="E37" s="2" t="s">
        <v>9</v>
      </c>
    </row>
    <row r="38" spans="2:5" x14ac:dyDescent="0.3">
      <c r="B38" s="2" t="s">
        <v>67</v>
      </c>
      <c r="C38" s="2" t="s">
        <v>71</v>
      </c>
      <c r="D38" s="2">
        <f>(11)</f>
        <v>11</v>
      </c>
      <c r="E38" s="2" t="s">
        <v>9</v>
      </c>
    </row>
    <row r="39" spans="2:5" x14ac:dyDescent="0.3">
      <c r="B39" s="2" t="s">
        <v>77</v>
      </c>
      <c r="C39" s="2" t="s">
        <v>78</v>
      </c>
      <c r="D39" s="2">
        <f>(97)</f>
        <v>97</v>
      </c>
      <c r="E39" s="2" t="s">
        <v>87</v>
      </c>
    </row>
    <row r="40" spans="2:5" x14ac:dyDescent="0.3">
      <c r="B40" s="2" t="s">
        <v>77</v>
      </c>
      <c r="C40" s="2" t="s">
        <v>79</v>
      </c>
      <c r="D40" s="2">
        <f>(2.1)</f>
        <v>2.1</v>
      </c>
      <c r="E40" s="2" t="s">
        <v>9</v>
      </c>
    </row>
    <row r="41" spans="2:5" x14ac:dyDescent="0.3">
      <c r="B41" s="2" t="s">
        <v>77</v>
      </c>
      <c r="C41" s="2" t="s">
        <v>80</v>
      </c>
      <c r="D41" s="2">
        <f>(11.75)</f>
        <v>11.75</v>
      </c>
      <c r="E41" s="2" t="s">
        <v>9</v>
      </c>
    </row>
    <row r="42" spans="2:5" x14ac:dyDescent="0.3">
      <c r="B42" s="2" t="s">
        <v>77</v>
      </c>
      <c r="C42" s="2" t="s">
        <v>81</v>
      </c>
      <c r="D42" s="2">
        <f>(72.88)</f>
        <v>72.88</v>
      </c>
      <c r="E42" s="2" t="s">
        <v>88</v>
      </c>
    </row>
    <row r="43" spans="2:5" x14ac:dyDescent="0.3">
      <c r="B43" s="2" t="s">
        <v>77</v>
      </c>
      <c r="C43" s="2" t="s">
        <v>82</v>
      </c>
      <c r="D43" s="2">
        <f>(37.05)</f>
        <v>37.049999999999997</v>
      </c>
      <c r="E43" s="2" t="s">
        <v>88</v>
      </c>
    </row>
    <row r="44" spans="2:5" x14ac:dyDescent="0.3">
      <c r="B44" s="2" t="s">
        <v>77</v>
      </c>
      <c r="C44" s="2" t="s">
        <v>83</v>
      </c>
      <c r="D44" s="2">
        <f>(47.04)</f>
        <v>47.04</v>
      </c>
      <c r="E44" s="2" t="s">
        <v>89</v>
      </c>
    </row>
    <row r="45" spans="2:5" x14ac:dyDescent="0.3">
      <c r="B45" s="2" t="s">
        <v>77</v>
      </c>
      <c r="C45" s="2" t="s">
        <v>84</v>
      </c>
      <c r="D45" s="2">
        <f>(53.12)</f>
        <v>53.12</v>
      </c>
      <c r="E45" s="2" t="s">
        <v>9</v>
      </c>
    </row>
    <row r="46" spans="2:5" x14ac:dyDescent="0.3">
      <c r="B46" s="2" t="s">
        <v>77</v>
      </c>
      <c r="C46" s="2" t="s">
        <v>85</v>
      </c>
      <c r="D46" s="2">
        <f>(245)</f>
        <v>245</v>
      </c>
      <c r="E46" s="2" t="s">
        <v>90</v>
      </c>
    </row>
    <row r="47" spans="2:5" x14ac:dyDescent="0.3">
      <c r="B47" s="2" t="s">
        <v>77</v>
      </c>
      <c r="C47" s="2" t="s">
        <v>86</v>
      </c>
      <c r="D47" s="2">
        <f>(89)</f>
        <v>89</v>
      </c>
      <c r="E47" s="2" t="s">
        <v>87</v>
      </c>
    </row>
    <row r="48" spans="2:5" x14ac:dyDescent="0.3">
      <c r="B48" s="2" t="s">
        <v>7</v>
      </c>
      <c r="C48" s="2" t="s">
        <v>91</v>
      </c>
      <c r="D48" s="2">
        <f>(0.85)</f>
        <v>0.85</v>
      </c>
      <c r="E48" s="2" t="s">
        <v>9</v>
      </c>
    </row>
    <row r="49" spans="2:5" x14ac:dyDescent="0.3">
      <c r="B49" s="2" t="s">
        <v>7</v>
      </c>
      <c r="C49" s="2" t="s">
        <v>92</v>
      </c>
      <c r="D49" s="2">
        <f>(4.5)</f>
        <v>4.5</v>
      </c>
      <c r="E49" s="2" t="s">
        <v>9</v>
      </c>
    </row>
    <row r="50" spans="2:5" x14ac:dyDescent="0.3">
      <c r="B50" s="2" t="s">
        <v>93</v>
      </c>
      <c r="C50" s="2" t="s">
        <v>94</v>
      </c>
      <c r="D50" s="2">
        <f>(16.5)</f>
        <v>16.5</v>
      </c>
      <c r="E50" s="2" t="s">
        <v>15</v>
      </c>
    </row>
    <row r="51" spans="2:5" x14ac:dyDescent="0.3">
      <c r="B51" s="2" t="s">
        <v>93</v>
      </c>
      <c r="C51" s="2" t="s">
        <v>95</v>
      </c>
      <c r="D51" s="2">
        <f>(16.5)</f>
        <v>16.5</v>
      </c>
      <c r="E51" s="2" t="s">
        <v>15</v>
      </c>
    </row>
    <row r="52" spans="2:5" x14ac:dyDescent="0.3">
      <c r="B52" s="2" t="s">
        <v>93</v>
      </c>
      <c r="C52" s="2" t="s">
        <v>96</v>
      </c>
      <c r="D52" s="2">
        <f>(16.5)</f>
        <v>16.5</v>
      </c>
      <c r="E52" s="2" t="s">
        <v>15</v>
      </c>
    </row>
    <row r="53" spans="2:5" x14ac:dyDescent="0.3">
      <c r="B53" s="2" t="s">
        <v>93</v>
      </c>
      <c r="C53" s="2" t="s">
        <v>97</v>
      </c>
      <c r="D53" s="2">
        <f>(28)</f>
        <v>28</v>
      </c>
      <c r="E53" s="2" t="s">
        <v>15</v>
      </c>
    </row>
    <row r="54" spans="2:5" x14ac:dyDescent="0.3">
      <c r="B54" s="2" t="s">
        <v>93</v>
      </c>
      <c r="C54" s="2" t="s">
        <v>98</v>
      </c>
      <c r="D54" s="2">
        <f>(16)</f>
        <v>16</v>
      </c>
      <c r="E54" s="2" t="s">
        <v>15</v>
      </c>
    </row>
    <row r="55" spans="2:5" x14ac:dyDescent="0.3">
      <c r="B55" s="2" t="s">
        <v>7</v>
      </c>
      <c r="C55" s="2" t="s">
        <v>99</v>
      </c>
      <c r="D55" s="2">
        <f>(2)</f>
        <v>2</v>
      </c>
      <c r="E55" s="2" t="s">
        <v>9</v>
      </c>
    </row>
    <row r="56" spans="2:5" x14ac:dyDescent="0.3">
      <c r="B56" s="2" t="s">
        <v>7</v>
      </c>
      <c r="C56" s="2" t="s">
        <v>100</v>
      </c>
      <c r="D56" s="2">
        <f>(2.8)</f>
        <v>2.8</v>
      </c>
      <c r="E56" s="2" t="s">
        <v>103</v>
      </c>
    </row>
    <row r="57" spans="2:5" x14ac:dyDescent="0.3">
      <c r="B57" s="2" t="s">
        <v>7</v>
      </c>
      <c r="C57" s="2" t="s">
        <v>101</v>
      </c>
      <c r="D57" s="2">
        <f>(6.25)</f>
        <v>6.25</v>
      </c>
      <c r="E57" s="2" t="s">
        <v>103</v>
      </c>
    </row>
    <row r="58" spans="2:5" x14ac:dyDescent="0.3">
      <c r="B58" s="2" t="s">
        <v>7</v>
      </c>
      <c r="C58" s="2" t="s">
        <v>102</v>
      </c>
      <c r="D58" s="2">
        <f>(15)</f>
        <v>15</v>
      </c>
      <c r="E58" s="2" t="s">
        <v>104</v>
      </c>
    </row>
    <row r="59" spans="2:5" x14ac:dyDescent="0.3">
      <c r="B59" s="2" t="s">
        <v>110</v>
      </c>
      <c r="C59" s="2" t="s">
        <v>105</v>
      </c>
      <c r="D59" s="2">
        <f>(4.5)</f>
        <v>4.5</v>
      </c>
      <c r="E59" s="2" t="s">
        <v>19</v>
      </c>
    </row>
    <row r="60" spans="2:5" x14ac:dyDescent="0.3">
      <c r="B60" s="2" t="s">
        <v>110</v>
      </c>
      <c r="C60" s="2" t="s">
        <v>106</v>
      </c>
      <c r="D60" s="2">
        <f>(5.2)</f>
        <v>5.2</v>
      </c>
      <c r="E60" s="2" t="s">
        <v>19</v>
      </c>
    </row>
    <row r="61" spans="2:5" x14ac:dyDescent="0.3">
      <c r="B61" s="2" t="s">
        <v>110</v>
      </c>
      <c r="C61" s="2" t="s">
        <v>107</v>
      </c>
      <c r="D61" s="2">
        <f>(11)</f>
        <v>11</v>
      </c>
      <c r="E61" s="2" t="s">
        <v>19</v>
      </c>
    </row>
    <row r="62" spans="2:5" x14ac:dyDescent="0.3">
      <c r="B62" s="2" t="s">
        <v>110</v>
      </c>
      <c r="C62" s="2" t="s">
        <v>108</v>
      </c>
      <c r="D62" s="2">
        <f>(15)</f>
        <v>15</v>
      </c>
      <c r="E62" s="2" t="s">
        <v>19</v>
      </c>
    </row>
    <row r="63" spans="2:5" x14ac:dyDescent="0.3">
      <c r="B63" s="2" t="s">
        <v>110</v>
      </c>
      <c r="C63" s="2" t="s">
        <v>109</v>
      </c>
      <c r="D63" s="2">
        <f>(220)</f>
        <v>220</v>
      </c>
      <c r="E63" s="2" t="s">
        <v>19</v>
      </c>
    </row>
    <row r="64" spans="2:5" x14ac:dyDescent="0.3">
      <c r="B64" s="2" t="s">
        <v>111</v>
      </c>
      <c r="C64" s="2" t="s">
        <v>112</v>
      </c>
      <c r="D64" s="2">
        <f>(62)</f>
        <v>62</v>
      </c>
      <c r="E64" s="2" t="s">
        <v>37</v>
      </c>
    </row>
    <row r="65" spans="2:5" x14ac:dyDescent="0.3">
      <c r="B65" s="2" t="s">
        <v>111</v>
      </c>
      <c r="C65" s="2" t="s">
        <v>113</v>
      </c>
      <c r="D65" s="2">
        <f>(265)</f>
        <v>265</v>
      </c>
      <c r="E65" s="2" t="s">
        <v>120</v>
      </c>
    </row>
    <row r="66" spans="2:5" x14ac:dyDescent="0.3">
      <c r="B66" s="2" t="s">
        <v>111</v>
      </c>
      <c r="C66" s="2" t="s">
        <v>114</v>
      </c>
      <c r="D66" s="2">
        <f>(13.5)</f>
        <v>13.5</v>
      </c>
      <c r="E66" s="2" t="s">
        <v>9</v>
      </c>
    </row>
    <row r="67" spans="2:5" x14ac:dyDescent="0.3">
      <c r="B67" s="2" t="s">
        <v>111</v>
      </c>
      <c r="C67" s="2" t="s">
        <v>115</v>
      </c>
      <c r="D67" s="2">
        <f>(163.6)</f>
        <v>163.6</v>
      </c>
      <c r="E67" s="2" t="s">
        <v>121</v>
      </c>
    </row>
    <row r="68" spans="2:5" x14ac:dyDescent="0.3">
      <c r="B68" s="2" t="s">
        <v>111</v>
      </c>
      <c r="C68" s="2" t="s">
        <v>116</v>
      </c>
      <c r="D68" s="2">
        <f>(11.5)</f>
        <v>11.5</v>
      </c>
      <c r="E68" s="2" t="s">
        <v>9</v>
      </c>
    </row>
    <row r="69" spans="2:5" x14ac:dyDescent="0.3">
      <c r="B69" s="2" t="s">
        <v>111</v>
      </c>
      <c r="C69" s="2" t="s">
        <v>117</v>
      </c>
      <c r="D69" s="2">
        <f>(4.79)</f>
        <v>4.79</v>
      </c>
      <c r="E69" s="2" t="s">
        <v>198</v>
      </c>
    </row>
    <row r="70" spans="2:5" x14ac:dyDescent="0.3">
      <c r="B70" s="2" t="s">
        <v>111</v>
      </c>
      <c r="C70" s="2" t="s">
        <v>118</v>
      </c>
      <c r="D70" s="2">
        <f>(6.46)</f>
        <v>6.46</v>
      </c>
      <c r="E70" s="2" t="s">
        <v>122</v>
      </c>
    </row>
    <row r="71" spans="2:5" x14ac:dyDescent="0.3">
      <c r="B71" s="2" t="s">
        <v>111</v>
      </c>
      <c r="C71" s="2" t="s">
        <v>200</v>
      </c>
      <c r="D71" s="2">
        <f>(8)</f>
        <v>8</v>
      </c>
      <c r="E71" s="2" t="s">
        <v>146</v>
      </c>
    </row>
    <row r="72" spans="2:5" x14ac:dyDescent="0.3">
      <c r="B72" s="2" t="s">
        <v>111</v>
      </c>
      <c r="C72" s="2" t="s">
        <v>119</v>
      </c>
      <c r="D72" s="2">
        <f>(5.15)</f>
        <v>5.15</v>
      </c>
      <c r="E72" s="2" t="s">
        <v>123</v>
      </c>
    </row>
    <row r="73" spans="2:5" x14ac:dyDescent="0.3">
      <c r="B73" s="2" t="s">
        <v>124</v>
      </c>
      <c r="C73" s="2" t="s">
        <v>125</v>
      </c>
      <c r="D73" s="2">
        <f>(11.15)</f>
        <v>11.15</v>
      </c>
      <c r="E73" s="2" t="s">
        <v>9</v>
      </c>
    </row>
    <row r="74" spans="2:5" x14ac:dyDescent="0.3">
      <c r="B74" s="2" t="s">
        <v>124</v>
      </c>
      <c r="C74" s="2" t="s">
        <v>126</v>
      </c>
      <c r="D74" s="2">
        <f>(10.2)</f>
        <v>10.199999999999999</v>
      </c>
      <c r="E74" s="2" t="s">
        <v>9</v>
      </c>
    </row>
    <row r="75" spans="2:5" x14ac:dyDescent="0.3">
      <c r="B75" s="2" t="s">
        <v>124</v>
      </c>
      <c r="C75" s="2" t="s">
        <v>127</v>
      </c>
      <c r="D75" s="2">
        <f>(12.65)</f>
        <v>12.65</v>
      </c>
      <c r="E75" s="2" t="s">
        <v>9</v>
      </c>
    </row>
    <row r="76" spans="2:5" x14ac:dyDescent="0.3">
      <c r="B76" s="2" t="s">
        <v>124</v>
      </c>
      <c r="C76" s="2" t="s">
        <v>128</v>
      </c>
      <c r="D76" s="2">
        <f>(16.95)</f>
        <v>16.95</v>
      </c>
      <c r="E76" s="2" t="s">
        <v>9</v>
      </c>
    </row>
    <row r="77" spans="2:5" x14ac:dyDescent="0.3">
      <c r="B77" s="2" t="s">
        <v>124</v>
      </c>
      <c r="C77" s="2" t="s">
        <v>129</v>
      </c>
      <c r="D77" s="2">
        <f>(12.25)</f>
        <v>12.25</v>
      </c>
      <c r="E77" s="2" t="s">
        <v>9</v>
      </c>
    </row>
    <row r="78" spans="2:5" x14ac:dyDescent="0.3">
      <c r="B78" s="2" t="s">
        <v>124</v>
      </c>
      <c r="C78" s="2" t="s">
        <v>130</v>
      </c>
      <c r="D78" s="2">
        <f>(36)</f>
        <v>36</v>
      </c>
      <c r="E78" s="2" t="s">
        <v>9</v>
      </c>
    </row>
    <row r="79" spans="2:5" x14ac:dyDescent="0.3">
      <c r="B79" s="2" t="s">
        <v>124</v>
      </c>
      <c r="C79" s="2" t="s">
        <v>131</v>
      </c>
      <c r="D79" s="2">
        <f>(48)</f>
        <v>48</v>
      </c>
      <c r="E79" s="2" t="s">
        <v>9</v>
      </c>
    </row>
    <row r="80" spans="2:5" x14ac:dyDescent="0.3">
      <c r="B80" s="2" t="s">
        <v>124</v>
      </c>
      <c r="C80" s="2" t="s">
        <v>132</v>
      </c>
      <c r="D80" s="2">
        <f>(62.5)</f>
        <v>62.5</v>
      </c>
      <c r="E80" s="2" t="s">
        <v>121</v>
      </c>
    </row>
    <row r="81" spans="2:5" x14ac:dyDescent="0.3">
      <c r="B81" s="2" t="s">
        <v>124</v>
      </c>
      <c r="C81" s="2" t="s">
        <v>133</v>
      </c>
      <c r="D81" s="2">
        <f>(2.1)</f>
        <v>2.1</v>
      </c>
      <c r="E81" s="2" t="s">
        <v>9</v>
      </c>
    </row>
    <row r="82" spans="2:5" x14ac:dyDescent="0.3">
      <c r="B82" s="2" t="s">
        <v>124</v>
      </c>
      <c r="C82" s="2" t="s">
        <v>134</v>
      </c>
      <c r="D82" s="2">
        <f>(4.7)</f>
        <v>4.7</v>
      </c>
      <c r="E82" s="2" t="s">
        <v>66</v>
      </c>
    </row>
    <row r="83" spans="2:5" x14ac:dyDescent="0.3">
      <c r="B83" s="2" t="s">
        <v>124</v>
      </c>
      <c r="C83" s="2" t="s">
        <v>135</v>
      </c>
      <c r="D83" s="2">
        <f>(7.34)</f>
        <v>7.34</v>
      </c>
      <c r="E83" s="2" t="s">
        <v>66</v>
      </c>
    </row>
    <row r="84" spans="2:5" x14ac:dyDescent="0.3">
      <c r="B84" s="2" t="s">
        <v>124</v>
      </c>
      <c r="C84" s="2" t="s">
        <v>136</v>
      </c>
      <c r="D84" s="2">
        <f>(9.5)</f>
        <v>9.5</v>
      </c>
      <c r="E84" s="2" t="s">
        <v>66</v>
      </c>
    </row>
    <row r="85" spans="2:5" x14ac:dyDescent="0.3">
      <c r="B85" s="2" t="s">
        <v>137</v>
      </c>
      <c r="C85" s="2" t="s">
        <v>138</v>
      </c>
      <c r="D85" s="2">
        <f>(53.8)</f>
        <v>53.8</v>
      </c>
      <c r="E85" s="2" t="s">
        <v>66</v>
      </c>
    </row>
    <row r="86" spans="2:5" x14ac:dyDescent="0.3">
      <c r="B86" s="2" t="s">
        <v>137</v>
      </c>
      <c r="C86" s="2" t="s">
        <v>139</v>
      </c>
      <c r="D86" s="2">
        <f>(115.21)</f>
        <v>115.21</v>
      </c>
      <c r="E86" s="2" t="s">
        <v>66</v>
      </c>
    </row>
    <row r="87" spans="2:5" x14ac:dyDescent="0.3">
      <c r="B87" s="2" t="s">
        <v>137</v>
      </c>
      <c r="C87" s="2" t="s">
        <v>140</v>
      </c>
      <c r="D87" s="2">
        <f>(70)</f>
        <v>70</v>
      </c>
      <c r="E87" s="2" t="s">
        <v>122</v>
      </c>
    </row>
    <row r="88" spans="2:5" x14ac:dyDescent="0.3">
      <c r="B88" s="2" t="s">
        <v>137</v>
      </c>
      <c r="C88" s="2" t="s">
        <v>141</v>
      </c>
      <c r="D88" s="2">
        <f>(12.5)</f>
        <v>12.5</v>
      </c>
      <c r="E88" s="2" t="s">
        <v>66</v>
      </c>
    </row>
    <row r="89" spans="2:5" x14ac:dyDescent="0.3">
      <c r="B89" s="2" t="s">
        <v>137</v>
      </c>
      <c r="C89" s="2" t="s">
        <v>142</v>
      </c>
      <c r="D89" s="2">
        <v>10</v>
      </c>
      <c r="E89" s="2" t="s">
        <v>9</v>
      </c>
    </row>
    <row r="90" spans="2:5" x14ac:dyDescent="0.3">
      <c r="B90" s="2" t="s">
        <v>124</v>
      </c>
      <c r="C90" s="2" t="s">
        <v>143</v>
      </c>
      <c r="D90" s="2">
        <f>(13.65)</f>
        <v>13.65</v>
      </c>
      <c r="E90" s="2" t="s">
        <v>146</v>
      </c>
    </row>
    <row r="91" spans="2:5" x14ac:dyDescent="0.3">
      <c r="B91" s="2" t="s">
        <v>124</v>
      </c>
      <c r="C91" s="2" t="s">
        <v>144</v>
      </c>
      <c r="D91" s="2">
        <f>(35.09)</f>
        <v>35.090000000000003</v>
      </c>
      <c r="E91" s="2" t="s">
        <v>146</v>
      </c>
    </row>
    <row r="92" spans="2:5" x14ac:dyDescent="0.3">
      <c r="B92" s="2" t="s">
        <v>124</v>
      </c>
      <c r="C92" s="2" t="s">
        <v>145</v>
      </c>
      <c r="D92" s="2">
        <f>(13.15)</f>
        <v>13.15</v>
      </c>
      <c r="E92" s="2" t="s">
        <v>146</v>
      </c>
    </row>
    <row r="93" spans="2:5" x14ac:dyDescent="0.3">
      <c r="B93" s="2" t="s">
        <v>124</v>
      </c>
      <c r="C93" s="2" t="s">
        <v>147</v>
      </c>
      <c r="D93" s="2">
        <v>75</v>
      </c>
      <c r="E93" s="2" t="s">
        <v>121</v>
      </c>
    </row>
    <row r="94" spans="2:5" x14ac:dyDescent="0.3">
      <c r="B94" s="2" t="s">
        <v>124</v>
      </c>
      <c r="C94" s="2" t="s">
        <v>148</v>
      </c>
      <c r="D94" s="2">
        <v>50</v>
      </c>
      <c r="E94" s="2" t="s">
        <v>146</v>
      </c>
    </row>
    <row r="95" spans="2:5" x14ac:dyDescent="0.3">
      <c r="B95" s="2" t="s">
        <v>202</v>
      </c>
      <c r="C95" s="2" t="s">
        <v>149</v>
      </c>
      <c r="D95" s="2">
        <f>(450)</f>
        <v>450</v>
      </c>
      <c r="E95" s="2" t="s">
        <v>9</v>
      </c>
    </row>
    <row r="96" spans="2:5" x14ac:dyDescent="0.3">
      <c r="B96" s="2" t="s">
        <v>202</v>
      </c>
      <c r="C96" s="2" t="s">
        <v>150</v>
      </c>
      <c r="D96" s="2">
        <f>(150)</f>
        <v>150</v>
      </c>
      <c r="E96" s="2" t="s">
        <v>9</v>
      </c>
    </row>
    <row r="97" spans="2:5" x14ac:dyDescent="0.3">
      <c r="B97" s="2" t="s">
        <v>202</v>
      </c>
      <c r="C97" s="2" t="s">
        <v>151</v>
      </c>
      <c r="D97" s="2">
        <f>(3.29)</f>
        <v>3.29</v>
      </c>
      <c r="E97" s="2" t="s">
        <v>198</v>
      </c>
    </row>
    <row r="98" spans="2:5" x14ac:dyDescent="0.3">
      <c r="B98" s="2" t="s">
        <v>202</v>
      </c>
      <c r="C98" s="2" t="s">
        <v>152</v>
      </c>
      <c r="D98" s="2">
        <f>(6.54)</f>
        <v>6.54</v>
      </c>
      <c r="E98" s="2" t="s">
        <v>198</v>
      </c>
    </row>
    <row r="99" spans="2:5" x14ac:dyDescent="0.3">
      <c r="B99" s="2" t="s">
        <v>202</v>
      </c>
      <c r="C99" s="2" t="s">
        <v>153</v>
      </c>
      <c r="D99" s="2">
        <f>(5.74)</f>
        <v>5.74</v>
      </c>
      <c r="E99" s="2" t="s">
        <v>198</v>
      </c>
    </row>
    <row r="100" spans="2:5" x14ac:dyDescent="0.3">
      <c r="B100" s="2" t="s">
        <v>202</v>
      </c>
      <c r="C100" s="2" t="s">
        <v>154</v>
      </c>
      <c r="D100" s="2">
        <f>(33.95)</f>
        <v>33.950000000000003</v>
      </c>
      <c r="E100" s="2" t="s">
        <v>183</v>
      </c>
    </row>
    <row r="101" spans="2:5" x14ac:dyDescent="0.3">
      <c r="B101" s="2" t="s">
        <v>202</v>
      </c>
      <c r="C101" s="2" t="s">
        <v>155</v>
      </c>
      <c r="D101" s="2">
        <f>(18.75)</f>
        <v>18.75</v>
      </c>
      <c r="E101" s="2" t="s">
        <v>183</v>
      </c>
    </row>
    <row r="102" spans="2:5" x14ac:dyDescent="0.3">
      <c r="B102" s="2" t="s">
        <v>202</v>
      </c>
      <c r="C102" s="2" t="s">
        <v>156</v>
      </c>
      <c r="D102" s="2">
        <f>(10.25)</f>
        <v>10.25</v>
      </c>
      <c r="E102" s="2" t="s">
        <v>183</v>
      </c>
    </row>
    <row r="103" spans="2:5" x14ac:dyDescent="0.3">
      <c r="B103" s="2" t="s">
        <v>202</v>
      </c>
      <c r="C103" s="2" t="s">
        <v>157</v>
      </c>
      <c r="D103" s="2">
        <f>(26.5)</f>
        <v>26.5</v>
      </c>
      <c r="E103" s="2" t="s">
        <v>183</v>
      </c>
    </row>
    <row r="104" spans="2:5" x14ac:dyDescent="0.3">
      <c r="B104" s="2" t="s">
        <v>202</v>
      </c>
      <c r="C104" s="2" t="s">
        <v>158</v>
      </c>
      <c r="D104" s="2">
        <f>(28.86)</f>
        <v>28.86</v>
      </c>
      <c r="E104" s="2" t="s">
        <v>184</v>
      </c>
    </row>
    <row r="105" spans="2:5" x14ac:dyDescent="0.3">
      <c r="B105" s="2" t="s">
        <v>202</v>
      </c>
      <c r="C105" s="2" t="s">
        <v>159</v>
      </c>
      <c r="D105" s="2">
        <f>(34.95)</f>
        <v>34.950000000000003</v>
      </c>
      <c r="E105" s="2" t="s">
        <v>198</v>
      </c>
    </row>
    <row r="106" spans="2:5" x14ac:dyDescent="0.3">
      <c r="B106" s="2" t="s">
        <v>202</v>
      </c>
      <c r="C106" s="2" t="s">
        <v>160</v>
      </c>
      <c r="D106" s="2">
        <f>(192.75)</f>
        <v>192.75</v>
      </c>
      <c r="E106" s="2" t="s">
        <v>185</v>
      </c>
    </row>
    <row r="107" spans="2:5" x14ac:dyDescent="0.3">
      <c r="B107" s="2" t="s">
        <v>202</v>
      </c>
      <c r="C107" s="2" t="s">
        <v>161</v>
      </c>
      <c r="D107" s="2">
        <f>(103.22)</f>
        <v>103.22</v>
      </c>
      <c r="E107" s="2" t="s">
        <v>185</v>
      </c>
    </row>
    <row r="108" spans="2:5" x14ac:dyDescent="0.3">
      <c r="B108" s="2" t="s">
        <v>202</v>
      </c>
      <c r="C108" s="2" t="s">
        <v>162</v>
      </c>
      <c r="D108" s="2">
        <f>(50.37)</f>
        <v>50.37</v>
      </c>
      <c r="E108" s="2" t="s">
        <v>185</v>
      </c>
    </row>
    <row r="109" spans="2:5" x14ac:dyDescent="0.3">
      <c r="B109" s="2" t="s">
        <v>202</v>
      </c>
      <c r="C109" s="2" t="s">
        <v>163</v>
      </c>
      <c r="D109" s="2">
        <f>(7.72)</f>
        <v>7.72</v>
      </c>
      <c r="E109" s="2" t="s">
        <v>186</v>
      </c>
    </row>
    <row r="110" spans="2:5" x14ac:dyDescent="0.3">
      <c r="B110" s="2" t="s">
        <v>202</v>
      </c>
      <c r="C110" s="2" t="s">
        <v>164</v>
      </c>
      <c r="D110" s="2">
        <f>(138.55)</f>
        <v>138.55000000000001</v>
      </c>
      <c r="E110" s="2" t="s">
        <v>185</v>
      </c>
    </row>
    <row r="111" spans="2:5" x14ac:dyDescent="0.3">
      <c r="B111" s="2" t="s">
        <v>202</v>
      </c>
      <c r="C111" s="2" t="s">
        <v>165</v>
      </c>
      <c r="D111" s="2">
        <f>(24)</f>
        <v>24</v>
      </c>
      <c r="E111" s="2" t="s">
        <v>121</v>
      </c>
    </row>
    <row r="112" spans="2:5" x14ac:dyDescent="0.3">
      <c r="B112" s="2" t="s">
        <v>202</v>
      </c>
      <c r="C112" s="2" t="s">
        <v>166</v>
      </c>
      <c r="D112" s="2">
        <f>(24)</f>
        <v>24</v>
      </c>
      <c r="E112" s="2" t="s">
        <v>121</v>
      </c>
    </row>
    <row r="113" spans="2:5" x14ac:dyDescent="0.3">
      <c r="B113" s="2" t="s">
        <v>202</v>
      </c>
      <c r="C113" s="2" t="s">
        <v>167</v>
      </c>
      <c r="D113" s="2">
        <f>(24)</f>
        <v>24</v>
      </c>
      <c r="E113" s="2" t="s">
        <v>121</v>
      </c>
    </row>
    <row r="114" spans="2:5" x14ac:dyDescent="0.3">
      <c r="B114" s="2" t="s">
        <v>202</v>
      </c>
      <c r="C114" s="2" t="s">
        <v>168</v>
      </c>
      <c r="D114" s="2">
        <f>(74.39)</f>
        <v>74.39</v>
      </c>
      <c r="E114" s="2" t="s">
        <v>121</v>
      </c>
    </row>
    <row r="115" spans="2:5" x14ac:dyDescent="0.3">
      <c r="B115" s="2" t="s">
        <v>202</v>
      </c>
      <c r="C115" s="2" t="s">
        <v>169</v>
      </c>
      <c r="D115" s="2">
        <f>(70.54)</f>
        <v>70.540000000000006</v>
      </c>
      <c r="E115" s="2" t="s">
        <v>121</v>
      </c>
    </row>
    <row r="116" spans="2:5" x14ac:dyDescent="0.3">
      <c r="B116" s="2" t="s">
        <v>202</v>
      </c>
      <c r="C116" s="2" t="s">
        <v>170</v>
      </c>
      <c r="D116" s="2">
        <f>(170.69)</f>
        <v>170.69</v>
      </c>
      <c r="E116" s="2" t="s">
        <v>121</v>
      </c>
    </row>
    <row r="117" spans="2:5" x14ac:dyDescent="0.3">
      <c r="B117" s="2" t="s">
        <v>202</v>
      </c>
      <c r="C117" s="2" t="s">
        <v>171</v>
      </c>
      <c r="D117" s="2">
        <f>(95.39)</f>
        <v>95.39</v>
      </c>
      <c r="E117" s="2" t="s">
        <v>121</v>
      </c>
    </row>
    <row r="118" spans="2:5" x14ac:dyDescent="0.3">
      <c r="B118" s="2" t="s">
        <v>202</v>
      </c>
      <c r="C118" s="2" t="s">
        <v>172</v>
      </c>
      <c r="D118" s="2">
        <f>(230)</f>
        <v>230</v>
      </c>
      <c r="E118" s="2" t="s">
        <v>9</v>
      </c>
    </row>
    <row r="119" spans="2:5" x14ac:dyDescent="0.3">
      <c r="B119" s="2" t="s">
        <v>202</v>
      </c>
      <c r="C119" s="2" t="s">
        <v>173</v>
      </c>
      <c r="D119" s="2">
        <f>(6.9)</f>
        <v>6.9</v>
      </c>
      <c r="E119" s="2" t="s">
        <v>19</v>
      </c>
    </row>
    <row r="120" spans="2:5" x14ac:dyDescent="0.3">
      <c r="B120" s="2" t="s">
        <v>202</v>
      </c>
      <c r="C120" s="2" t="s">
        <v>174</v>
      </c>
      <c r="D120" s="2">
        <f>(50)</f>
        <v>50</v>
      </c>
      <c r="E120" s="2" t="s">
        <v>9</v>
      </c>
    </row>
    <row r="121" spans="2:5" x14ac:dyDescent="0.3">
      <c r="B121" s="2" t="s">
        <v>202</v>
      </c>
      <c r="C121" s="2" t="s">
        <v>175</v>
      </c>
      <c r="D121" s="2">
        <f>(50)</f>
        <v>50</v>
      </c>
      <c r="E121" s="2" t="s">
        <v>9</v>
      </c>
    </row>
    <row r="122" spans="2:5" x14ac:dyDescent="0.3">
      <c r="B122" s="2" t="s">
        <v>202</v>
      </c>
      <c r="C122" s="2" t="s">
        <v>176</v>
      </c>
      <c r="D122" s="2">
        <f>(1.46)</f>
        <v>1.46</v>
      </c>
      <c r="E122" s="2" t="s">
        <v>9</v>
      </c>
    </row>
    <row r="123" spans="2:5" x14ac:dyDescent="0.3">
      <c r="B123" s="2" t="s">
        <v>202</v>
      </c>
      <c r="C123" s="2" t="s">
        <v>177</v>
      </c>
      <c r="D123" s="2">
        <f>(9)</f>
        <v>9</v>
      </c>
      <c r="E123" s="2" t="s">
        <v>9</v>
      </c>
    </row>
    <row r="124" spans="2:5" x14ac:dyDescent="0.3">
      <c r="B124" s="2" t="s">
        <v>202</v>
      </c>
      <c r="C124" s="2" t="s">
        <v>178</v>
      </c>
      <c r="D124" s="2">
        <f>(1.05)</f>
        <v>1.05</v>
      </c>
      <c r="E124" s="2" t="s">
        <v>9</v>
      </c>
    </row>
    <row r="125" spans="2:5" x14ac:dyDescent="0.3">
      <c r="B125" s="2" t="s">
        <v>202</v>
      </c>
      <c r="C125" s="2" t="s">
        <v>179</v>
      </c>
      <c r="D125" s="2">
        <f>(13.45)</f>
        <v>13.45</v>
      </c>
      <c r="E125" s="2" t="s">
        <v>19</v>
      </c>
    </row>
    <row r="126" spans="2:5" x14ac:dyDescent="0.3">
      <c r="B126" s="2" t="s">
        <v>202</v>
      </c>
      <c r="C126" s="2" t="s">
        <v>180</v>
      </c>
      <c r="D126" s="2">
        <f>(19.95)</f>
        <v>19.95</v>
      </c>
      <c r="E126" s="2" t="s">
        <v>198</v>
      </c>
    </row>
    <row r="127" spans="2:5" x14ac:dyDescent="0.3">
      <c r="B127" s="2" t="s">
        <v>202</v>
      </c>
      <c r="C127" s="2" t="s">
        <v>181</v>
      </c>
      <c r="D127" s="2">
        <f>(76)</f>
        <v>76</v>
      </c>
      <c r="E127" s="2" t="s">
        <v>9</v>
      </c>
    </row>
    <row r="128" spans="2:5" x14ac:dyDescent="0.3">
      <c r="B128" s="2" t="s">
        <v>202</v>
      </c>
      <c r="C128" s="2" t="s">
        <v>182</v>
      </c>
      <c r="D128" s="2">
        <f>(30.5)</f>
        <v>30.5</v>
      </c>
      <c r="E128" s="2" t="s">
        <v>183</v>
      </c>
    </row>
    <row r="129" spans="2:5" x14ac:dyDescent="0.3">
      <c r="B129" s="2" t="s">
        <v>201</v>
      </c>
      <c r="C129" s="2" t="s">
        <v>187</v>
      </c>
      <c r="D129" s="2">
        <f>(29.95)</f>
        <v>29.95</v>
      </c>
      <c r="E129" s="2" t="s">
        <v>199</v>
      </c>
    </row>
    <row r="130" spans="2:5" x14ac:dyDescent="0.3">
      <c r="B130" s="2" t="s">
        <v>201</v>
      </c>
      <c r="C130" s="2" t="s">
        <v>188</v>
      </c>
      <c r="D130" s="2">
        <f>(18)</f>
        <v>18</v>
      </c>
      <c r="E130" s="2" t="s">
        <v>198</v>
      </c>
    </row>
    <row r="131" spans="2:5" x14ac:dyDescent="0.3">
      <c r="B131" s="2" t="s">
        <v>201</v>
      </c>
      <c r="C131" s="2" t="s">
        <v>189</v>
      </c>
      <c r="D131" s="2">
        <f>(13.2)</f>
        <v>13.2</v>
      </c>
      <c r="E131" s="2" t="s">
        <v>198</v>
      </c>
    </row>
    <row r="132" spans="2:5" x14ac:dyDescent="0.3">
      <c r="B132" s="2" t="s">
        <v>201</v>
      </c>
      <c r="C132" s="2" t="s">
        <v>190</v>
      </c>
      <c r="D132" s="2">
        <f>(11.5)</f>
        <v>11.5</v>
      </c>
      <c r="E132" s="2" t="s">
        <v>9</v>
      </c>
    </row>
    <row r="133" spans="2:5" x14ac:dyDescent="0.3">
      <c r="B133" s="2" t="s">
        <v>201</v>
      </c>
      <c r="C133" s="2" t="s">
        <v>191</v>
      </c>
      <c r="D133" s="2">
        <f>(3.07)</f>
        <v>3.07</v>
      </c>
      <c r="E133" s="2" t="s">
        <v>198</v>
      </c>
    </row>
    <row r="134" spans="2:5" x14ac:dyDescent="0.3">
      <c r="B134" s="2" t="s">
        <v>201</v>
      </c>
      <c r="C134" s="2" t="s">
        <v>192</v>
      </c>
      <c r="D134" s="2">
        <f>(116)</f>
        <v>116</v>
      </c>
      <c r="E134" s="2" t="s">
        <v>9</v>
      </c>
    </row>
    <row r="135" spans="2:5" x14ac:dyDescent="0.3">
      <c r="B135" s="2" t="s">
        <v>201</v>
      </c>
      <c r="C135" s="2" t="s">
        <v>193</v>
      </c>
      <c r="D135" s="2">
        <f>(139)</f>
        <v>139</v>
      </c>
      <c r="E135" s="2" t="s">
        <v>9</v>
      </c>
    </row>
    <row r="136" spans="2:5" x14ac:dyDescent="0.3">
      <c r="B136" s="2" t="s">
        <v>201</v>
      </c>
      <c r="C136" s="2" t="s">
        <v>194</v>
      </c>
      <c r="D136" s="2">
        <f>(185)</f>
        <v>185</v>
      </c>
      <c r="E136" s="2" t="s">
        <v>9</v>
      </c>
    </row>
    <row r="137" spans="2:5" x14ac:dyDescent="0.3">
      <c r="B137" s="2" t="s">
        <v>201</v>
      </c>
      <c r="C137" s="2" t="s">
        <v>195</v>
      </c>
      <c r="D137" s="2">
        <f>(28)</f>
        <v>28</v>
      </c>
      <c r="E137" s="2" t="s">
        <v>9</v>
      </c>
    </row>
    <row r="138" spans="2:5" x14ac:dyDescent="0.3">
      <c r="B138" s="2" t="s">
        <v>201</v>
      </c>
      <c r="C138" s="2" t="s">
        <v>196</v>
      </c>
      <c r="D138" s="2">
        <f>(30)</f>
        <v>30</v>
      </c>
      <c r="E138" s="2" t="s">
        <v>9</v>
      </c>
    </row>
    <row r="139" spans="2:5" x14ac:dyDescent="0.3">
      <c r="B139" s="2" t="s">
        <v>201</v>
      </c>
      <c r="C139" s="2" t="s">
        <v>197</v>
      </c>
      <c r="D139" s="2">
        <f>(750)</f>
        <v>750</v>
      </c>
      <c r="E139" s="2" t="s">
        <v>9</v>
      </c>
    </row>
    <row r="140" spans="2:5" x14ac:dyDescent="0.3">
      <c r="B140" s="2" t="s">
        <v>17</v>
      </c>
      <c r="C140" s="2" t="s">
        <v>203</v>
      </c>
      <c r="D140" s="2">
        <f>(46.95)</f>
        <v>46.95</v>
      </c>
      <c r="E140" s="2" t="s">
        <v>9</v>
      </c>
    </row>
    <row r="141" spans="2:5" x14ac:dyDescent="0.3">
      <c r="B141" s="2" t="s">
        <v>17</v>
      </c>
      <c r="C141" s="2" t="s">
        <v>204</v>
      </c>
      <c r="D141" s="2">
        <f>(18.95)</f>
        <v>18.95</v>
      </c>
      <c r="E141" s="2" t="s">
        <v>9</v>
      </c>
    </row>
    <row r="142" spans="2:5" x14ac:dyDescent="0.3">
      <c r="B142" s="2" t="s">
        <v>25</v>
      </c>
      <c r="C142" s="2" t="s">
        <v>205</v>
      </c>
      <c r="D142" s="2">
        <f>(45.52)</f>
        <v>45.52</v>
      </c>
      <c r="E142" s="2" t="s">
        <v>213</v>
      </c>
    </row>
    <row r="143" spans="2:5" x14ac:dyDescent="0.3">
      <c r="B143" s="2" t="s">
        <v>25</v>
      </c>
      <c r="C143" s="2" t="s">
        <v>206</v>
      </c>
      <c r="D143" s="2">
        <f>(45.42)</f>
        <v>45.42</v>
      </c>
      <c r="E143" s="2" t="s">
        <v>213</v>
      </c>
    </row>
    <row r="144" spans="2:5" x14ac:dyDescent="0.3">
      <c r="B144" s="2" t="s">
        <v>25</v>
      </c>
      <c r="C144" s="2" t="s">
        <v>207</v>
      </c>
      <c r="D144" s="2">
        <f>(74)</f>
        <v>74</v>
      </c>
      <c r="E144" s="2" t="s">
        <v>214</v>
      </c>
    </row>
    <row r="145" spans="2:5" x14ac:dyDescent="0.3">
      <c r="B145" s="2" t="s">
        <v>25</v>
      </c>
      <c r="C145" s="2" t="s">
        <v>208</v>
      </c>
      <c r="D145" s="2">
        <f>(109)</f>
        <v>109</v>
      </c>
      <c r="E145" s="2" t="s">
        <v>214</v>
      </c>
    </row>
    <row r="146" spans="2:5" x14ac:dyDescent="0.3">
      <c r="B146" s="2" t="s">
        <v>25</v>
      </c>
      <c r="C146" s="2" t="s">
        <v>209</v>
      </c>
      <c r="D146" s="2">
        <f>(19.11)</f>
        <v>19.11</v>
      </c>
      <c r="E146" s="2" t="s">
        <v>9</v>
      </c>
    </row>
    <row r="147" spans="2:5" x14ac:dyDescent="0.3">
      <c r="B147" s="2" t="s">
        <v>25</v>
      </c>
      <c r="C147" s="2" t="s">
        <v>210</v>
      </c>
      <c r="D147" s="2">
        <f>(61.75)</f>
        <v>61.75</v>
      </c>
      <c r="E147" s="2" t="s">
        <v>213</v>
      </c>
    </row>
    <row r="148" spans="2:5" x14ac:dyDescent="0.3">
      <c r="B148" s="2" t="s">
        <v>25</v>
      </c>
      <c r="C148" s="2" t="s">
        <v>211</v>
      </c>
      <c r="D148" s="2">
        <f>(5.65)</f>
        <v>5.65</v>
      </c>
      <c r="E148" s="2" t="s">
        <v>66</v>
      </c>
    </row>
    <row r="149" spans="2:5" x14ac:dyDescent="0.3">
      <c r="B149" s="2" t="s">
        <v>25</v>
      </c>
      <c r="C149" s="2" t="s">
        <v>212</v>
      </c>
      <c r="D149" s="2">
        <f>(3.5)</f>
        <v>3.5</v>
      </c>
      <c r="E149" s="2" t="s">
        <v>215</v>
      </c>
    </row>
    <row r="150" spans="2:5" x14ac:dyDescent="0.3">
      <c r="B150" s="2" t="s">
        <v>219</v>
      </c>
      <c r="C150" s="2" t="s">
        <v>216</v>
      </c>
      <c r="D150" s="2">
        <v>25</v>
      </c>
      <c r="E150" s="2" t="s">
        <v>9</v>
      </c>
    </row>
    <row r="151" spans="2:5" x14ac:dyDescent="0.3">
      <c r="B151" s="2" t="s">
        <v>219</v>
      </c>
      <c r="C151" s="2" t="s">
        <v>217</v>
      </c>
      <c r="D151" s="2">
        <v>25</v>
      </c>
      <c r="E151" s="2" t="s">
        <v>9</v>
      </c>
    </row>
    <row r="152" spans="2:5" x14ac:dyDescent="0.3">
      <c r="B152" s="2" t="s">
        <v>219</v>
      </c>
      <c r="C152" s="2" t="s">
        <v>218</v>
      </c>
      <c r="D152" s="2">
        <v>40</v>
      </c>
      <c r="E152" s="2" t="s">
        <v>9</v>
      </c>
    </row>
    <row r="153" spans="2:5" x14ac:dyDescent="0.3">
      <c r="B153" s="2"/>
      <c r="C153" s="2"/>
      <c r="D153" s="2"/>
      <c r="E153" s="2"/>
    </row>
    <row r="154" spans="2:5" x14ac:dyDescent="0.3">
      <c r="B154" s="2"/>
      <c r="C154" s="2"/>
      <c r="D154" s="2"/>
      <c r="E154" s="2"/>
    </row>
    <row r="155" spans="2:5" x14ac:dyDescent="0.3">
      <c r="B155" s="2"/>
      <c r="C155" s="2"/>
      <c r="D155" s="2"/>
      <c r="E155" s="2"/>
    </row>
    <row r="156" spans="2:5" x14ac:dyDescent="0.3">
      <c r="B156" s="2"/>
      <c r="C156" s="2"/>
      <c r="D156" s="2"/>
      <c r="E156" s="2"/>
    </row>
    <row r="157" spans="2:5" x14ac:dyDescent="0.3">
      <c r="B157" s="2"/>
      <c r="C157" s="2"/>
      <c r="D157" s="2"/>
      <c r="E157" s="2"/>
    </row>
    <row r="158" spans="2:5" x14ac:dyDescent="0.3">
      <c r="B158" s="2"/>
      <c r="C158" s="2"/>
      <c r="D158" s="2"/>
      <c r="E158" s="2"/>
    </row>
    <row r="159" spans="2:5" x14ac:dyDescent="0.3">
      <c r="B159" s="2"/>
      <c r="C159" s="2"/>
      <c r="D159" s="2"/>
      <c r="E159" s="2"/>
    </row>
    <row r="160" spans="2:5" x14ac:dyDescent="0.3">
      <c r="B160" s="2"/>
      <c r="C160" s="2"/>
      <c r="D160" s="2"/>
      <c r="E160" s="2"/>
    </row>
    <row r="161" spans="2:5" x14ac:dyDescent="0.3">
      <c r="B161" s="2"/>
      <c r="C161" s="2"/>
      <c r="D161" s="2"/>
      <c r="E161" s="2"/>
    </row>
    <row r="162" spans="2:5" x14ac:dyDescent="0.3">
      <c r="B162" s="2"/>
      <c r="C162" s="2"/>
      <c r="D162" s="2"/>
      <c r="E162" s="2"/>
    </row>
    <row r="163" spans="2:5" x14ac:dyDescent="0.3">
      <c r="B163" s="2"/>
      <c r="C163" s="2"/>
      <c r="D163" s="2"/>
      <c r="E163" s="2"/>
    </row>
    <row r="164" spans="2:5" x14ac:dyDescent="0.3">
      <c r="B164" s="2"/>
      <c r="C164" s="2"/>
      <c r="D164" s="2"/>
      <c r="E164" s="2"/>
    </row>
    <row r="165" spans="2:5" x14ac:dyDescent="0.3">
      <c r="B165" s="2"/>
      <c r="C165" s="2"/>
      <c r="D165" s="2"/>
      <c r="E165" s="2"/>
    </row>
    <row r="166" spans="2:5" x14ac:dyDescent="0.3">
      <c r="B166" s="2"/>
      <c r="C166" s="2"/>
      <c r="D166" s="2"/>
      <c r="E166" s="2"/>
    </row>
    <row r="167" spans="2:5" x14ac:dyDescent="0.3">
      <c r="B167" s="2"/>
      <c r="C167" s="2"/>
      <c r="D167" s="2"/>
      <c r="E167" s="2"/>
    </row>
    <row r="168" spans="2:5" x14ac:dyDescent="0.3">
      <c r="B168" s="2"/>
      <c r="C168" s="2"/>
      <c r="D168" s="2"/>
      <c r="E168" s="2"/>
    </row>
    <row r="169" spans="2:5" x14ac:dyDescent="0.3">
      <c r="B169" s="2"/>
      <c r="C169" s="2"/>
      <c r="D169" s="2"/>
      <c r="E169" s="2"/>
    </row>
    <row r="170" spans="2:5" x14ac:dyDescent="0.3">
      <c r="B170" s="2"/>
      <c r="C170" s="2"/>
      <c r="D170" s="2"/>
      <c r="E170" s="2"/>
    </row>
    <row r="171" spans="2:5" x14ac:dyDescent="0.3">
      <c r="B171" s="2"/>
      <c r="C171" s="2"/>
      <c r="D171" s="2"/>
      <c r="E171" s="2"/>
    </row>
    <row r="172" spans="2:5" x14ac:dyDescent="0.3">
      <c r="B172" s="2"/>
      <c r="C172" s="2"/>
      <c r="D172" s="2"/>
      <c r="E172" s="2"/>
    </row>
    <row r="173" spans="2:5" x14ac:dyDescent="0.3">
      <c r="B173" s="2"/>
      <c r="C173" s="2"/>
      <c r="D173" s="2"/>
      <c r="E173" s="2"/>
    </row>
    <row r="174" spans="2:5" x14ac:dyDescent="0.3">
      <c r="B174" s="2"/>
      <c r="C174" s="2"/>
      <c r="D174" s="2"/>
      <c r="E174" s="2"/>
    </row>
    <row r="175" spans="2:5" x14ac:dyDescent="0.3">
      <c r="B175" s="2"/>
      <c r="C175" s="2"/>
      <c r="D175" s="2"/>
      <c r="E175" s="2"/>
    </row>
    <row r="176" spans="2:5" x14ac:dyDescent="0.3">
      <c r="B176" s="2"/>
      <c r="C176" s="2"/>
      <c r="D176" s="2"/>
      <c r="E176" s="2"/>
    </row>
    <row r="177" spans="2:5" x14ac:dyDescent="0.3">
      <c r="B177" s="2"/>
      <c r="C177" s="2"/>
      <c r="D177" s="2"/>
      <c r="E177" s="2"/>
    </row>
    <row r="178" spans="2:5" x14ac:dyDescent="0.3">
      <c r="B178" s="2"/>
      <c r="C178" s="2"/>
      <c r="D178" s="2"/>
      <c r="E178" s="2"/>
    </row>
    <row r="179" spans="2:5" x14ac:dyDescent="0.3">
      <c r="B179" s="2"/>
      <c r="C179" s="2"/>
      <c r="D179" s="2"/>
      <c r="E179" s="2"/>
    </row>
    <row r="180" spans="2:5" x14ac:dyDescent="0.3">
      <c r="B180" s="2"/>
      <c r="C180" s="2"/>
      <c r="D180" s="2"/>
      <c r="E180" s="2"/>
    </row>
    <row r="181" spans="2:5" x14ac:dyDescent="0.3">
      <c r="B181" s="2"/>
      <c r="C181" s="2"/>
      <c r="D181" s="2"/>
      <c r="E181" s="2"/>
    </row>
    <row r="182" spans="2:5" x14ac:dyDescent="0.3">
      <c r="B182" s="2"/>
      <c r="C182" s="2"/>
      <c r="D182" s="2"/>
      <c r="E182" s="2"/>
    </row>
    <row r="183" spans="2:5" x14ac:dyDescent="0.3">
      <c r="B183" s="2"/>
      <c r="C183" s="2"/>
      <c r="D183" s="2"/>
      <c r="E183" s="2"/>
    </row>
    <row r="184" spans="2:5" x14ac:dyDescent="0.3">
      <c r="B184" s="2"/>
      <c r="C184" s="2"/>
      <c r="D184" s="2"/>
      <c r="E184" s="2"/>
    </row>
    <row r="185" spans="2:5" x14ac:dyDescent="0.3">
      <c r="B185" s="2"/>
      <c r="C185" s="2"/>
      <c r="D185" s="2"/>
      <c r="E185" s="2"/>
    </row>
    <row r="186" spans="2:5" x14ac:dyDescent="0.3">
      <c r="B186" s="2"/>
      <c r="C186" s="2"/>
      <c r="D186" s="2"/>
      <c r="E186" s="2"/>
    </row>
    <row r="187" spans="2:5" x14ac:dyDescent="0.3">
      <c r="B187" s="2"/>
      <c r="C187" s="2"/>
      <c r="D187" s="2"/>
      <c r="E187" s="2"/>
    </row>
    <row r="188" spans="2:5" x14ac:dyDescent="0.3">
      <c r="B188" s="2"/>
      <c r="C188" s="2"/>
      <c r="D188" s="2"/>
      <c r="E188" s="2"/>
    </row>
    <row r="189" spans="2:5" x14ac:dyDescent="0.3">
      <c r="B189" s="2"/>
      <c r="C189" s="2"/>
      <c r="D189" s="2"/>
      <c r="E189" s="2"/>
    </row>
    <row r="190" spans="2:5" x14ac:dyDescent="0.3">
      <c r="B190" s="2"/>
      <c r="C190" s="2"/>
      <c r="D190" s="2"/>
      <c r="E190" s="2"/>
    </row>
    <row r="191" spans="2:5" x14ac:dyDescent="0.3">
      <c r="B191" s="2"/>
      <c r="C191" s="2"/>
      <c r="D191" s="2"/>
      <c r="E191" s="2"/>
    </row>
    <row r="192" spans="2:5" x14ac:dyDescent="0.3">
      <c r="B192" s="2"/>
      <c r="C192" s="2"/>
      <c r="D192" s="2"/>
      <c r="E192" s="2"/>
    </row>
    <row r="193" spans="2:5" x14ac:dyDescent="0.3">
      <c r="B193" s="2"/>
      <c r="C193" s="2"/>
      <c r="D193" s="2"/>
      <c r="E193" s="2"/>
    </row>
    <row r="194" spans="2:5" x14ac:dyDescent="0.3">
      <c r="B194" s="2"/>
      <c r="C194" s="2"/>
      <c r="D194" s="2"/>
      <c r="E194" s="2"/>
    </row>
    <row r="195" spans="2:5" x14ac:dyDescent="0.3">
      <c r="B195" s="2"/>
      <c r="C195" s="2"/>
      <c r="D195" s="2"/>
      <c r="E195" s="2"/>
    </row>
    <row r="196" spans="2:5" x14ac:dyDescent="0.3">
      <c r="B196" s="2"/>
      <c r="C196" s="2"/>
      <c r="D196" s="2"/>
      <c r="E196" s="2"/>
    </row>
    <row r="197" spans="2:5" x14ac:dyDescent="0.3">
      <c r="B197" s="2"/>
      <c r="C197" s="2"/>
      <c r="D197" s="2"/>
      <c r="E197" s="2"/>
    </row>
    <row r="198" spans="2:5" x14ac:dyDescent="0.3">
      <c r="B198" s="2"/>
      <c r="C198" s="2"/>
      <c r="D198" s="2"/>
      <c r="E198" s="2"/>
    </row>
    <row r="199" spans="2:5" x14ac:dyDescent="0.3">
      <c r="B199" s="2"/>
      <c r="C199" s="2"/>
      <c r="D199" s="2"/>
      <c r="E199" s="2"/>
    </row>
    <row r="200" spans="2:5" x14ac:dyDescent="0.3">
      <c r="B200" s="2"/>
      <c r="C200" s="2"/>
      <c r="D200" s="2"/>
      <c r="E200" s="2"/>
    </row>
  </sheetData>
  <sheetProtection algorithmName="SHA-512" hashValue="Imfh6cKrcls1Wjf+BSqfKgryoMJetDZhZ8Tw9AQJrpBRTtfJbcRdq73jS1KhWXFfwgtgXIpnyoserNt00uxgkg==" saltValue="ywpHWWE5v/8CtA6uzbmRnw==" spinCount="100000" sheet="1" insertRows="0"/>
  <mergeCells count="1">
    <mergeCell ref="A1:E1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Items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2026-03-23T07:41:06Z</dcterms:created>
  <dcterms:modified xsi:type="dcterms:W3CDTF">2026-03-23T08:05:53Z</dcterms:modified>
  <cp:category/>
</cp:coreProperties>
</file>